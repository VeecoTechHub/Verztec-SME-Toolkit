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710" windowWidth="19420" windowHeight="9210"/>
  </bookViews>
  <sheets>
    <sheet name="Cash Flow Forecast" sheetId="1" r:id="rId1"/>
  </sheets>
  <calcPr calcId="125725"/>
</workbook>
</file>

<file path=xl/calcChain.xml><?xml version="1.0" encoding="utf-8"?>
<calcChain xmlns="http://schemas.openxmlformats.org/spreadsheetml/2006/main">
  <c r="C46" i="1"/>
  <c r="C42"/>
  <c r="O43"/>
  <c r="N43"/>
  <c r="M43"/>
  <c r="L43"/>
  <c r="K43"/>
  <c r="J43"/>
  <c r="I43"/>
  <c r="H43"/>
  <c r="G43"/>
  <c r="F43"/>
  <c r="C41"/>
  <c r="O35"/>
  <c r="N35"/>
  <c r="M35"/>
  <c r="L35"/>
  <c r="K35"/>
  <c r="J35"/>
  <c r="I35"/>
  <c r="H35"/>
  <c r="G35"/>
  <c r="F35"/>
  <c r="E35"/>
  <c r="D35"/>
  <c r="C35"/>
  <c r="C40"/>
  <c r="C39"/>
  <c r="C38"/>
  <c r="C37"/>
  <c r="C33"/>
  <c r="C31"/>
  <c r="C30"/>
  <c r="C28"/>
  <c r="C27"/>
  <c r="C25"/>
  <c r="C24"/>
  <c r="C21"/>
  <c r="C16"/>
  <c r="C15"/>
  <c r="C14"/>
  <c r="C12"/>
  <c r="C11"/>
  <c r="C8"/>
  <c r="O5"/>
  <c r="N5"/>
  <c r="M5"/>
  <c r="L5"/>
  <c r="K5"/>
  <c r="J5"/>
  <c r="I5"/>
  <c r="H5"/>
  <c r="G5"/>
  <c r="F5"/>
  <c r="E5"/>
  <c r="C18"/>
  <c r="A10"/>
  <c r="A14"/>
  <c r="A15" s="1"/>
  <c r="A16" s="1"/>
  <c r="A18"/>
  <c r="D18"/>
  <c r="D45" s="1"/>
  <c r="D47" s="1"/>
  <c r="E46" s="1"/>
  <c r="E18"/>
  <c r="F18"/>
  <c r="G18"/>
  <c r="H18"/>
  <c r="I18"/>
  <c r="J18"/>
  <c r="K18"/>
  <c r="L18"/>
  <c r="M18"/>
  <c r="N18"/>
  <c r="O18"/>
  <c r="C43"/>
  <c r="A23"/>
  <c r="A27"/>
  <c r="A28" s="1"/>
  <c r="A30" s="1"/>
  <c r="A31" s="1"/>
  <c r="A33" s="1"/>
  <c r="A37" s="1"/>
  <c r="A38" s="1"/>
  <c r="A39" s="1"/>
  <c r="A40" s="1"/>
  <c r="E43"/>
  <c r="J45"/>
  <c r="N45"/>
  <c r="A43"/>
  <c r="D43"/>
  <c r="G45"/>
  <c r="K45"/>
  <c r="O45"/>
  <c r="F45" l="1"/>
  <c r="L45"/>
  <c r="H45"/>
  <c r="C45"/>
  <c r="C47" s="1"/>
  <c r="M45"/>
  <c r="I45"/>
  <c r="E45"/>
  <c r="E47" s="1"/>
  <c r="F46" s="1"/>
  <c r="F47" l="1"/>
  <c r="G46" s="1"/>
  <c r="G47" s="1"/>
  <c r="H46" s="1"/>
  <c r="C48"/>
  <c r="H47"/>
  <c r="I46" s="1"/>
  <c r="I47" s="1"/>
  <c r="J46" s="1"/>
  <c r="J47" s="1"/>
  <c r="K46" s="1"/>
  <c r="K47" s="1"/>
  <c r="L46" s="1"/>
  <c r="L47" s="1"/>
  <c r="M46" s="1"/>
  <c r="M47" s="1"/>
  <c r="N46" s="1"/>
  <c r="N47" s="1"/>
  <c r="O46" s="1"/>
  <c r="O47" s="1"/>
</calcChain>
</file>

<file path=xl/sharedStrings.xml><?xml version="1.0" encoding="utf-8"?>
<sst xmlns="http://schemas.openxmlformats.org/spreadsheetml/2006/main" count="47" uniqueCount="45">
  <si>
    <t>check</t>
  </si>
  <si>
    <t>Closing balance</t>
  </si>
  <si>
    <t>Opening balance</t>
  </si>
  <si>
    <t>Net Cash Inflow/(Outflow)</t>
  </si>
  <si>
    <t>Drawings by directors / shareholders</t>
  </si>
  <si>
    <t>Hire purchase creditors (Principal + Interest)</t>
  </si>
  <si>
    <t>Loan repayment (Principal + Interest)</t>
  </si>
  <si>
    <t>Purchase of fixed assets</t>
  </si>
  <si>
    <t>SUBTOTAL</t>
  </si>
  <si>
    <t>Other operating expenses</t>
  </si>
  <si>
    <t>Income tax</t>
  </si>
  <si>
    <t>Rental expenses</t>
  </si>
  <si>
    <t>CPF, FWL, etc</t>
  </si>
  <si>
    <t>Salary</t>
  </si>
  <si>
    <t>Current</t>
  </si>
  <si>
    <t>Brought forward from last month</t>
  </si>
  <si>
    <t>Payables</t>
  </si>
  <si>
    <t>Cash purchases</t>
  </si>
  <si>
    <t>CASH OUTFLOW</t>
  </si>
  <si>
    <t>Other income</t>
  </si>
  <si>
    <t>Interest income</t>
  </si>
  <si>
    <t>Loans receipts</t>
  </si>
  <si>
    <t>Debtors</t>
  </si>
  <si>
    <t>Cash sales</t>
  </si>
  <si>
    <t>CASH INFLOW</t>
  </si>
  <si>
    <t>[MM YY]</t>
  </si>
  <si>
    <t>SGD</t>
  </si>
  <si>
    <t>Cash Flow Budget</t>
  </si>
  <si>
    <t>The figures are expressed in SGD rounded to the nearest dollar</t>
  </si>
  <si>
    <t>Cash Flow Forecast for the period from [DD MM YY] to [DD MM YY]</t>
  </si>
  <si>
    <t>ABC Company Pte Ltd</t>
  </si>
  <si>
    <t>Year 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</si>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</sst>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&quot;Week&quot;\ 0"/>
    <numFmt numFmtId="166" formatCode="_-* #,##0.00_-;\-* #,##0.00_-;_-* &quot;-&quot;??_-;_-@_-"/>
    <numFmt numFmtId="167" formatCode="[$-409]d\-mmm\-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3" tint="-0.2499465926084170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7" fontId="7" fillId="0" borderId="0"/>
    <xf numFmtId="0" fontId="7" fillId="0" borderId="0"/>
    <xf numFmtId="9" fontId="7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0" xfId="1" applyNumberFormat="1" applyFont="1" applyBorder="1"/>
    <xf numFmtId="0" fontId="0" fillId="0" borderId="1" xfId="0" applyFont="1" applyFill="1" applyBorder="1"/>
    <xf numFmtId="164" fontId="4" fillId="0" borderId="1" xfId="0" applyNumberFormat="1" applyFont="1" applyFill="1" applyBorder="1"/>
    <xf numFmtId="0" fontId="4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164" fontId="0" fillId="0" borderId="2" xfId="1" applyNumberFormat="1" applyFont="1" applyFill="1" applyBorder="1"/>
    <xf numFmtId="0" fontId="0" fillId="0" borderId="0" xfId="0" applyFont="1" applyFill="1" applyBorder="1"/>
    <xf numFmtId="0" fontId="0" fillId="0" borderId="0" xfId="0" applyFill="1" applyBorder="1" applyAlignment="1">
      <alignment horizontal="left"/>
    </xf>
    <xf numFmtId="164" fontId="0" fillId="0" borderId="0" xfId="1" applyNumberFormat="1" applyFont="1" applyFill="1" applyBorder="1"/>
    <xf numFmtId="164" fontId="3" fillId="2" borderId="0" xfId="1" applyNumberFormat="1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64" fontId="3" fillId="0" borderId="3" xfId="1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Font="1" applyFill="1" applyAlignment="1">
      <alignment horizontal="left"/>
    </xf>
    <xf numFmtId="0" fontId="3" fillId="0" borderId="0" xfId="0" applyFont="1"/>
    <xf numFmtId="164" fontId="3" fillId="0" borderId="4" xfId="1" applyNumberFormat="1" applyFont="1" applyFill="1" applyBorder="1"/>
    <xf numFmtId="0" fontId="3" fillId="0" borderId="0" xfId="0" applyFont="1" applyFill="1" applyAlignment="1">
      <alignment horizontal="left"/>
    </xf>
    <xf numFmtId="165" fontId="2" fillId="3" borderId="0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2" fillId="3" borderId="0" xfId="0" applyFont="1" applyFill="1" applyBorder="1" applyAlignment="1">
      <alignment horizontal="left"/>
    </xf>
    <xf numFmtId="0" fontId="2" fillId="3" borderId="0" xfId="0" applyNumberFormat="1" applyFont="1" applyFill="1" applyBorder="1" applyAlignment="1">
      <alignment horizontal="center"/>
    </xf>
    <xf numFmtId="0" fontId="0" fillId="0" borderId="0" xfId="0" applyFont="1" applyFill="1"/>
    <xf numFmtId="0" fontId="5" fillId="4" borderId="0" xfId="0" applyFont="1" applyFill="1" applyAlignment="1">
      <alignment vertical="top"/>
    </xf>
    <xf numFmtId="0" fontId="5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left"/>
    </xf>
    <xf numFmtId="0" fontId="6" fillId="4" borderId="0" xfId="0" applyFont="1" applyFill="1"/>
  </cellXfs>
  <cellStyles count="8">
    <cellStyle name="Comma" xfId="1" builtinId="3"/>
    <cellStyle name="Comma 2" xfId="2"/>
    <cellStyle name="Comma 3" xfId="3"/>
    <cellStyle name="Normal" xfId="0" builtinId="0"/>
    <cellStyle name="Normal 2" xfId="4"/>
    <cellStyle name="Normal 2 2" xfId="5"/>
    <cellStyle name="Normal 3" xfId="6"/>
    <cellStyle name="Percent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4"/>
  <sheetViews>
    <sheetView showGridLines="0" tabSelected="1" zoomScale="108" zoomScaleNormal="108" workbookViewId="0">
      <pane xSplit="3" ySplit="6" topLeftCell="D7" activePane="bottomRight" state="frozen"/>
      <selection activeCell="C14" sqref="C14"/>
      <selection pane="topRight" activeCell="C14" sqref="C14"/>
      <selection pane="bottomLeft" activeCell="C14" sqref="C14"/>
      <selection pane="bottomRight" activeCell="C45" sqref="C45"/>
    </sheetView>
  </sheetViews>
  <sheetFormatPr defaultColWidth="9.1796875" defaultRowHeight="14.5"/>
  <cols>
    <col min="1" max="1" width="3.26953125" style="2" customWidth="1"/>
    <col min="2" max="2" width="42.81640625" style="1" customWidth="1"/>
    <col min="3" max="3" width="12.7265625" style="1" customWidth="1"/>
    <col min="4" max="15" width="10.7265625" style="1" customWidth="1"/>
    <col min="16" max="16384" width="9.1796875" style="1"/>
  </cols>
  <sheetData>
    <row r="1" spans="1:15" ht="15.5">
      <c r="A1" s="34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5" customHeight="1">
      <c r="A2" s="34" t="s">
        <v>29</v>
      </c>
    </row>
    <row r="3" spans="1:15" ht="15" customHeight="1">
      <c r="A3" s="33" t="s">
        <v>28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>
      <c r="A4" s="2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>
      <c r="A5" s="29" t="s">
        <v>27</v>
      </c>
      <c r="B5" s="28"/>
      <c r="C5" s="30" t="s">
        <v>44</v>
      </c>
      <c r="D5" s="30" t="s">
        <v>31</v>
      </c>
      <c r="E5" s="30" t="str">
        <f>+$D$5</f>
        <v>Year X</v>
      </c>
      <c r="F5" s="30" t="str">
        <f t="shared" ref="F5:O5" si="0">+$D$5</f>
        <v>Year X</v>
      </c>
      <c r="G5" s="30" t="str">
        <f t="shared" si="0"/>
        <v>Year X</v>
      </c>
      <c r="H5" s="30" t="str">
        <f t="shared" si="0"/>
        <v>Year X</v>
      </c>
      <c r="I5" s="30" t="str">
        <f t="shared" si="0"/>
        <v>Year X</v>
      </c>
      <c r="J5" s="30" t="str">
        <f t="shared" si="0"/>
        <v>Year X</v>
      </c>
      <c r="K5" s="30" t="str">
        <f t="shared" si="0"/>
        <v>Year X</v>
      </c>
      <c r="L5" s="30" t="str">
        <f t="shared" si="0"/>
        <v>Year X</v>
      </c>
      <c r="M5" s="30" t="str">
        <f t="shared" si="0"/>
        <v>Year X</v>
      </c>
      <c r="N5" s="30" t="str">
        <f t="shared" si="0"/>
        <v>Year X</v>
      </c>
      <c r="O5" s="30" t="str">
        <f t="shared" si="0"/>
        <v>Year X</v>
      </c>
    </row>
    <row r="6" spans="1:15">
      <c r="A6" s="29" t="s">
        <v>26</v>
      </c>
      <c r="B6" s="28"/>
      <c r="C6" s="27" t="s">
        <v>25</v>
      </c>
      <c r="D6" s="27" t="s">
        <v>32</v>
      </c>
      <c r="E6" s="27" t="s">
        <v>33</v>
      </c>
      <c r="F6" s="27" t="s">
        <v>34</v>
      </c>
      <c r="G6" s="27" t="s">
        <v>35</v>
      </c>
      <c r="H6" s="27" t="s">
        <v>36</v>
      </c>
      <c r="I6" s="27" t="s">
        <v>37</v>
      </c>
      <c r="J6" s="27" t="s">
        <v>38</v>
      </c>
      <c r="K6" s="27" t="s">
        <v>39</v>
      </c>
      <c r="L6" s="27" t="s">
        <v>40</v>
      </c>
      <c r="M6" s="27" t="s">
        <v>41</v>
      </c>
      <c r="N6" s="27" t="s">
        <v>42</v>
      </c>
      <c r="O6" s="27" t="s">
        <v>43</v>
      </c>
    </row>
    <row r="7" spans="1:15">
      <c r="A7" s="21" t="s">
        <v>24</v>
      </c>
      <c r="B7" s="12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>
      <c r="A8" s="23">
        <v>1</v>
      </c>
      <c r="B8" s="22" t="s">
        <v>23</v>
      </c>
      <c r="C8" s="14">
        <f>SUM(D8:O8)</f>
        <v>0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>
      <c r="A9" s="23"/>
      <c r="B9" s="2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>
      <c r="A10" s="23">
        <f>+A8+1</f>
        <v>2</v>
      </c>
      <c r="B10" s="22" t="s">
        <v>22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>
      <c r="A11" s="23"/>
      <c r="B11" s="22" t="s">
        <v>15</v>
      </c>
      <c r="C11" s="14">
        <f>SUM(D11:O11)</f>
        <v>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>
      <c r="A12" s="23"/>
      <c r="B12" s="22" t="s">
        <v>14</v>
      </c>
      <c r="C12" s="14">
        <f>SUM(D12:O12)</f>
        <v>0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>
      <c r="A13" s="23"/>
      <c r="B13" s="22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>
      <c r="A14" s="23">
        <f>+A10+1</f>
        <v>3</v>
      </c>
      <c r="B14" s="22" t="s">
        <v>21</v>
      </c>
      <c r="C14" s="14">
        <f>SUM(D14:O14)</f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>
      <c r="A15" s="23">
        <f>+A14+1</f>
        <v>4</v>
      </c>
      <c r="B15" s="22" t="s">
        <v>20</v>
      </c>
      <c r="C15" s="14">
        <f>SUM(D15:O15)</f>
        <v>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>
      <c r="A16" s="23">
        <f>+A15+1</f>
        <v>5</v>
      </c>
      <c r="B16" s="22" t="s">
        <v>19</v>
      </c>
      <c r="C16" s="14">
        <f>SUM(D16:O16)</f>
        <v>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>
      <c r="A17" s="23"/>
      <c r="B17" s="22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thickBot="1">
      <c r="A18" s="21" t="str">
        <f>"TOTAL "&amp;A7</f>
        <v>TOTAL CASH INFLOW</v>
      </c>
      <c r="B18" s="20"/>
      <c r="C18" s="19">
        <f t="shared" ref="C18:O18" si="1">+SUM(C7:C17)</f>
        <v>0</v>
      </c>
      <c r="D18" s="19">
        <f t="shared" si="1"/>
        <v>0</v>
      </c>
      <c r="E18" s="19">
        <f t="shared" si="1"/>
        <v>0</v>
      </c>
      <c r="F18" s="19">
        <f t="shared" si="1"/>
        <v>0</v>
      </c>
      <c r="G18" s="19">
        <f t="shared" si="1"/>
        <v>0</v>
      </c>
      <c r="H18" s="19">
        <f t="shared" si="1"/>
        <v>0</v>
      </c>
      <c r="I18" s="19">
        <f t="shared" si="1"/>
        <v>0</v>
      </c>
      <c r="J18" s="19">
        <f t="shared" si="1"/>
        <v>0</v>
      </c>
      <c r="K18" s="19">
        <f t="shared" si="1"/>
        <v>0</v>
      </c>
      <c r="L18" s="19">
        <f t="shared" si="1"/>
        <v>0</v>
      </c>
      <c r="M18" s="19">
        <f t="shared" si="1"/>
        <v>0</v>
      </c>
      <c r="N18" s="19">
        <f t="shared" si="1"/>
        <v>0</v>
      </c>
      <c r="O18" s="19">
        <f t="shared" si="1"/>
        <v>0</v>
      </c>
    </row>
    <row r="19" spans="1:15">
      <c r="A19" s="18"/>
      <c r="B19" s="12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>
      <c r="A20" s="21" t="s">
        <v>18</v>
      </c>
      <c r="B20" s="12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>
      <c r="A21" s="23">
        <v>1</v>
      </c>
      <c r="B21" s="22" t="s">
        <v>17</v>
      </c>
      <c r="C21" s="14">
        <f>SUM(D21:O21)</f>
        <v>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>
      <c r="A22" s="23"/>
      <c r="B22" s="12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>
      <c r="A23" s="23">
        <f>+A21+1</f>
        <v>2</v>
      </c>
      <c r="B23" s="22" t="s">
        <v>16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>
      <c r="A24" s="23"/>
      <c r="B24" s="22" t="s">
        <v>15</v>
      </c>
      <c r="C24" s="14">
        <f>SUM(D24:O24)</f>
        <v>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>
      <c r="A25" s="23"/>
      <c r="B25" s="22" t="s">
        <v>14</v>
      </c>
      <c r="C25" s="14">
        <f>SUM(D25:O25)</f>
        <v>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>
      <c r="A26" s="23"/>
      <c r="B26" s="1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>
      <c r="A27" s="23">
        <f>+A23+1</f>
        <v>3</v>
      </c>
      <c r="B27" s="22" t="s">
        <v>13</v>
      </c>
      <c r="C27" s="14">
        <f>SUM(D27:O27)</f>
        <v>0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>
      <c r="A28" s="23">
        <f>+A27+1</f>
        <v>4</v>
      </c>
      <c r="B28" s="22" t="s">
        <v>12</v>
      </c>
      <c r="C28" s="14">
        <f>SUM(D28:O28)</f>
        <v>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>
      <c r="A29" s="23"/>
      <c r="B29" s="22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>
      <c r="A30" s="23">
        <f>+A28+1</f>
        <v>5</v>
      </c>
      <c r="B30" s="22" t="s">
        <v>11</v>
      </c>
      <c r="C30" s="14">
        <f>SUM(D30:O30)</f>
        <v>0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>
      <c r="A31" s="23">
        <f>+A30+1</f>
        <v>6</v>
      </c>
      <c r="B31" s="22" t="s">
        <v>10</v>
      </c>
      <c r="C31" s="14">
        <f>SUM(D31:O31)</f>
        <v>0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A32" s="23"/>
      <c r="B32" s="22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A33" s="23">
        <f>+A31+1</f>
        <v>7</v>
      </c>
      <c r="B33" s="22" t="s">
        <v>9</v>
      </c>
      <c r="C33" s="14">
        <f>SUM(D33:O33)</f>
        <v>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>
      <c r="A34" s="23"/>
      <c r="B34" s="22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s="24" customFormat="1">
      <c r="A35" s="26" t="s">
        <v>8</v>
      </c>
      <c r="B35" s="20"/>
      <c r="C35" s="25">
        <f>SUM(C20:C34)</f>
        <v>0</v>
      </c>
      <c r="D35" s="25">
        <f>SUM(D20:D34)</f>
        <v>0</v>
      </c>
      <c r="E35" s="25">
        <f>SUM(E20:E34)</f>
        <v>0</v>
      </c>
      <c r="F35" s="25">
        <f t="shared" ref="F35:O35" si="2">SUM(F20:F34)</f>
        <v>0</v>
      </c>
      <c r="G35" s="25">
        <f t="shared" si="2"/>
        <v>0</v>
      </c>
      <c r="H35" s="25">
        <f t="shared" si="2"/>
        <v>0</v>
      </c>
      <c r="I35" s="25">
        <f t="shared" si="2"/>
        <v>0</v>
      </c>
      <c r="J35" s="25">
        <f t="shared" si="2"/>
        <v>0</v>
      </c>
      <c r="K35" s="25">
        <f t="shared" si="2"/>
        <v>0</v>
      </c>
      <c r="L35" s="25">
        <f t="shared" si="2"/>
        <v>0</v>
      </c>
      <c r="M35" s="25">
        <f t="shared" si="2"/>
        <v>0</v>
      </c>
      <c r="N35" s="25">
        <f t="shared" si="2"/>
        <v>0</v>
      </c>
      <c r="O35" s="25">
        <f t="shared" si="2"/>
        <v>0</v>
      </c>
    </row>
    <row r="36" spans="1:15">
      <c r="A36" s="23"/>
      <c r="B36" s="12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>
      <c r="A37" s="23">
        <f>+A33+1</f>
        <v>8</v>
      </c>
      <c r="B37" s="22" t="s">
        <v>7</v>
      </c>
      <c r="C37" s="14">
        <f>SUM(D37:O37)</f>
        <v>0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>
      <c r="A38" s="23">
        <f>+A37+1</f>
        <v>9</v>
      </c>
      <c r="B38" s="22" t="s">
        <v>6</v>
      </c>
      <c r="C38" s="14">
        <f>SUM(D38:O38)</f>
        <v>0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>
      <c r="A39" s="23">
        <f>+A38+1</f>
        <v>10</v>
      </c>
      <c r="B39" s="22" t="s">
        <v>5</v>
      </c>
      <c r="C39" s="14">
        <f>SUM(D39:O39)</f>
        <v>0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>
      <c r="A40" s="23">
        <f>+A39+1</f>
        <v>11</v>
      </c>
      <c r="B40" s="22" t="s">
        <v>4</v>
      </c>
      <c r="C40" s="14">
        <f>SUM(D40:O40)</f>
        <v>0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>
      <c r="A41" s="23"/>
      <c r="B41" s="22"/>
      <c r="C41" s="14">
        <f>SUM(D41:O41)</f>
        <v>0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>
      <c r="A42" s="23"/>
      <c r="B42" s="22"/>
      <c r="C42" s="14">
        <f>SUM(D42:O42)</f>
        <v>0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" thickBot="1">
      <c r="A43" s="21" t="str">
        <f>"TOTAL "&amp;A20</f>
        <v>TOTAL CASH OUTFLOW</v>
      </c>
      <c r="B43" s="20"/>
      <c r="C43" s="19">
        <f t="shared" ref="C43:O43" si="3">+SUM(C35:C42)</f>
        <v>0</v>
      </c>
      <c r="D43" s="19">
        <f t="shared" si="3"/>
        <v>0</v>
      </c>
      <c r="E43" s="19">
        <f t="shared" si="3"/>
        <v>0</v>
      </c>
      <c r="F43" s="19">
        <f t="shared" si="3"/>
        <v>0</v>
      </c>
      <c r="G43" s="19">
        <f t="shared" si="3"/>
        <v>0</v>
      </c>
      <c r="H43" s="19">
        <f t="shared" si="3"/>
        <v>0</v>
      </c>
      <c r="I43" s="19">
        <f t="shared" si="3"/>
        <v>0</v>
      </c>
      <c r="J43" s="19">
        <f t="shared" si="3"/>
        <v>0</v>
      </c>
      <c r="K43" s="19">
        <f t="shared" si="3"/>
        <v>0</v>
      </c>
      <c r="L43" s="19">
        <f t="shared" si="3"/>
        <v>0</v>
      </c>
      <c r="M43" s="19">
        <f t="shared" si="3"/>
        <v>0</v>
      </c>
      <c r="N43" s="19">
        <f t="shared" si="3"/>
        <v>0</v>
      </c>
      <c r="O43" s="19">
        <f t="shared" si="3"/>
        <v>0</v>
      </c>
    </row>
    <row r="44" spans="1:15">
      <c r="A44" s="18"/>
      <c r="B44" s="12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>
      <c r="A45" s="17" t="s">
        <v>3</v>
      </c>
      <c r="B45" s="16"/>
      <c r="C45" s="15">
        <f t="shared" ref="C45:O45" si="4">+C18-C43</f>
        <v>0</v>
      </c>
      <c r="D45" s="15">
        <f t="shared" si="4"/>
        <v>0</v>
      </c>
      <c r="E45" s="15">
        <f t="shared" si="4"/>
        <v>0</v>
      </c>
      <c r="F45" s="15">
        <f t="shared" si="4"/>
        <v>0</v>
      </c>
      <c r="G45" s="15">
        <f t="shared" si="4"/>
        <v>0</v>
      </c>
      <c r="H45" s="15">
        <f t="shared" si="4"/>
        <v>0</v>
      </c>
      <c r="I45" s="15">
        <f t="shared" si="4"/>
        <v>0</v>
      </c>
      <c r="J45" s="15">
        <f t="shared" si="4"/>
        <v>0</v>
      </c>
      <c r="K45" s="15">
        <f t="shared" si="4"/>
        <v>0</v>
      </c>
      <c r="L45" s="15">
        <f t="shared" si="4"/>
        <v>0</v>
      </c>
      <c r="M45" s="15">
        <f t="shared" si="4"/>
        <v>0</v>
      </c>
      <c r="N45" s="15">
        <f t="shared" si="4"/>
        <v>0</v>
      </c>
      <c r="O45" s="15">
        <f t="shared" si="4"/>
        <v>0</v>
      </c>
    </row>
    <row r="46" spans="1:15">
      <c r="A46" s="13" t="s">
        <v>2</v>
      </c>
      <c r="B46" s="12"/>
      <c r="C46" s="14">
        <f>+D46</f>
        <v>0</v>
      </c>
      <c r="D46" s="14"/>
      <c r="E46" s="14">
        <f>+D47</f>
        <v>0</v>
      </c>
      <c r="F46" s="14">
        <f t="shared" ref="F46:O46" si="5">+E47</f>
        <v>0</v>
      </c>
      <c r="G46" s="14">
        <f t="shared" si="5"/>
        <v>0</v>
      </c>
      <c r="H46" s="14">
        <f t="shared" si="5"/>
        <v>0</v>
      </c>
      <c r="I46" s="14">
        <f t="shared" si="5"/>
        <v>0</v>
      </c>
      <c r="J46" s="14">
        <f t="shared" si="5"/>
        <v>0</v>
      </c>
      <c r="K46" s="14">
        <f t="shared" si="5"/>
        <v>0</v>
      </c>
      <c r="L46" s="14">
        <f t="shared" si="5"/>
        <v>0</v>
      </c>
      <c r="M46" s="14">
        <f t="shared" si="5"/>
        <v>0</v>
      </c>
      <c r="N46" s="14">
        <f t="shared" si="5"/>
        <v>0</v>
      </c>
      <c r="O46" s="14">
        <f t="shared" si="5"/>
        <v>0</v>
      </c>
    </row>
    <row r="47" spans="1:15" ht="15" thickBot="1">
      <c r="A47" s="13" t="s">
        <v>1</v>
      </c>
      <c r="B47" s="12"/>
      <c r="C47" s="11">
        <f t="shared" ref="C47:O47" si="6">SUM(C45:C46)</f>
        <v>0</v>
      </c>
      <c r="D47" s="11">
        <f t="shared" si="6"/>
        <v>0</v>
      </c>
      <c r="E47" s="11">
        <f t="shared" si="6"/>
        <v>0</v>
      </c>
      <c r="F47" s="11">
        <f t="shared" si="6"/>
        <v>0</v>
      </c>
      <c r="G47" s="11">
        <f t="shared" si="6"/>
        <v>0</v>
      </c>
      <c r="H47" s="11">
        <f t="shared" si="6"/>
        <v>0</v>
      </c>
      <c r="I47" s="11">
        <f t="shared" si="6"/>
        <v>0</v>
      </c>
      <c r="J47" s="11">
        <f t="shared" si="6"/>
        <v>0</v>
      </c>
      <c r="K47" s="11">
        <f t="shared" si="6"/>
        <v>0</v>
      </c>
      <c r="L47" s="11">
        <f t="shared" si="6"/>
        <v>0</v>
      </c>
      <c r="M47" s="11">
        <f t="shared" si="6"/>
        <v>0</v>
      </c>
      <c r="N47" s="11">
        <f t="shared" si="6"/>
        <v>0</v>
      </c>
      <c r="O47" s="11">
        <f t="shared" si="6"/>
        <v>0</v>
      </c>
    </row>
    <row r="48" spans="1:15" ht="15.5" thickTop="1" thickBot="1">
      <c r="A48" s="10"/>
      <c r="B48" s="9" t="s">
        <v>0</v>
      </c>
      <c r="C48" s="8">
        <f>+C47-G47</f>
        <v>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5" thickTop="1">
      <c r="A49" s="4"/>
      <c r="B49" s="3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</sheetData>
  <printOptions horizontalCentered="1"/>
  <pageMargins left="0" right="0" top="0.5" bottom="0.5" header="0" footer="0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Forecast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DQ</cp:lastModifiedBy>
  <dcterms:created xsi:type="dcterms:W3CDTF">2012-04-20T01:14:23Z</dcterms:created>
  <dcterms:modified xsi:type="dcterms:W3CDTF">2012-06-25T03:17:11Z</dcterms:modified>
</cp:coreProperties>
</file>