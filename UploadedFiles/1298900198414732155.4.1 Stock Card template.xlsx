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3020" windowHeight="8220"/>
  </bookViews>
  <sheets>
    <sheet name="Stock Card Template" sheetId="1" r:id="rId1"/>
    <sheet name="Stock Card Sample" sheetId="3" r:id="rId2"/>
  </sheets>
  <definedNames>
    <definedName name="_xlnm.Print_Titles" localSheetId="1">'Stock Card Sample'!$5:$6</definedName>
    <definedName name="_xlnm.Print_Titles" localSheetId="0">'Stock Card Template'!$5:$6</definedName>
  </definedNames>
  <calcPr calcId="125725"/>
</workbook>
</file>

<file path=xl/calcChain.xml><?xml version="1.0" encoding="utf-8"?>
<calcChain xmlns="http://schemas.openxmlformats.org/spreadsheetml/2006/main">
  <c r="F9" i="3"/>
  <c r="D15"/>
  <c r="G14"/>
  <c r="G13"/>
  <c r="G12"/>
  <c r="G11"/>
  <c r="G10"/>
  <c r="G9"/>
  <c r="G8"/>
  <c r="E8"/>
  <c r="E9" s="1"/>
  <c r="E10" s="1"/>
  <c r="E11" s="1"/>
  <c r="E12" s="1"/>
  <c r="E13" s="1"/>
  <c r="E14" s="1"/>
  <c r="E15" s="1"/>
  <c r="G7"/>
  <c r="H7" s="1"/>
  <c r="H8" s="1"/>
  <c r="G10" i="1"/>
  <c r="E8"/>
  <c r="E9" s="1"/>
  <c r="E10" s="1"/>
  <c r="E11" s="1"/>
  <c r="E12" s="1"/>
  <c r="E13" s="1"/>
  <c r="E14" s="1"/>
  <c r="E15" s="1"/>
  <c r="G14"/>
  <c r="G13"/>
  <c r="G12"/>
  <c r="G11"/>
  <c r="G9"/>
  <c r="G8"/>
  <c r="G7"/>
  <c r="H7" s="1"/>
  <c r="H9" i="3" l="1"/>
  <c r="H10" s="1"/>
  <c r="H11" s="1"/>
  <c r="H12" s="1"/>
  <c r="H13" s="1"/>
  <c r="H14" s="1"/>
  <c r="H15" s="1"/>
  <c r="F15" s="1"/>
  <c r="G15" s="1"/>
  <c r="H8" i="1"/>
  <c r="H9" s="1"/>
  <c r="H10" s="1"/>
  <c r="H11" s="1"/>
  <c r="H12" s="1"/>
  <c r="H13" s="1"/>
  <c r="H14" s="1"/>
  <c r="H15" s="1"/>
  <c r="F15" s="1"/>
  <c r="G15" s="1"/>
  <c r="D15"/>
</calcChain>
</file>

<file path=xl/sharedStrings.xml><?xml version="1.0" encoding="utf-8"?>
<sst xmlns="http://schemas.openxmlformats.org/spreadsheetml/2006/main" count="44" uniqueCount="26">
  <si>
    <t>Total</t>
  </si>
  <si>
    <t>Balance</t>
  </si>
  <si>
    <t>Unit Cost</t>
  </si>
  <si>
    <t>Description</t>
  </si>
  <si>
    <t>Date</t>
  </si>
  <si>
    <t>Quantity</t>
  </si>
  <si>
    <t>12113/1213</t>
  </si>
  <si>
    <t xml:space="preserve">Descriptions : </t>
  </si>
  <si>
    <t>Item Code :</t>
  </si>
  <si>
    <t>Reference</t>
  </si>
  <si>
    <t>Beginning balance</t>
  </si>
  <si>
    <t>Transaction</t>
  </si>
  <si>
    <t>Sale</t>
  </si>
  <si>
    <t>Purchase</t>
  </si>
  <si>
    <t>Transfer</t>
  </si>
  <si>
    <t>Stock Return</t>
  </si>
  <si>
    <t>Stocktake Discrepancies</t>
  </si>
  <si>
    <t>In/(out)</t>
  </si>
  <si>
    <t>Stock Bal.</t>
  </si>
  <si>
    <t>Total Cost</t>
  </si>
  <si>
    <t>Cost</t>
  </si>
  <si>
    <t>Inv 3288</t>
  </si>
  <si>
    <t>Tsf 06/009</t>
  </si>
  <si>
    <t>GRN 06/001</t>
  </si>
  <si>
    <t>ADJ 06/002</t>
  </si>
  <si>
    <t>ABC Company Pte Ltd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</si>
</sst>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&quot;Week&quot;\ 0"/>
    <numFmt numFmtId="166" formatCode="_-* #,##0.00_-;\-* #,##0.00_-;_-* &quot;-&quot;??_-;_-@_-"/>
    <numFmt numFmtId="167" formatCode="[$-409]d\-mmm\-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7" fontId="6" fillId="0" borderId="0"/>
    <xf numFmtId="0" fontId="6" fillId="0" borderId="0"/>
    <xf numFmtId="9" fontId="6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Font="1"/>
    <xf numFmtId="43" fontId="0" fillId="0" borderId="0" xfId="1" applyFont="1"/>
    <xf numFmtId="164" fontId="0" fillId="0" borderId="0" xfId="1" applyNumberFormat="1" applyFont="1"/>
    <xf numFmtId="0" fontId="0" fillId="0" borderId="0" xfId="0" applyFont="1" applyAlignment="1">
      <alignment horizontal="left"/>
    </xf>
    <xf numFmtId="43" fontId="0" fillId="0" borderId="0" xfId="1" applyFont="1" applyBorder="1"/>
    <xf numFmtId="164" fontId="0" fillId="0" borderId="0" xfId="1" applyNumberFormat="1" applyFont="1" applyBorder="1"/>
    <xf numFmtId="0" fontId="0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/>
    <xf numFmtId="43" fontId="3" fillId="0" borderId="1" xfId="1" applyFont="1" applyBorder="1"/>
    <xf numFmtId="0" fontId="3" fillId="0" borderId="0" xfId="0" applyFont="1" applyBorder="1"/>
    <xf numFmtId="43" fontId="0" fillId="2" borderId="0" xfId="1" applyFont="1" applyFill="1" applyBorder="1"/>
    <xf numFmtId="164" fontId="0" fillId="0" borderId="0" xfId="1" applyNumberFormat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left"/>
    </xf>
    <xf numFmtId="43" fontId="0" fillId="0" borderId="0" xfId="1" applyFont="1" applyFill="1" applyBorder="1"/>
    <xf numFmtId="0" fontId="3" fillId="0" borderId="0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43" fontId="2" fillId="3" borderId="0" xfId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4" fontId="2" fillId="4" borderId="0" xfId="1" applyNumberFormat="1" applyFont="1" applyFill="1" applyBorder="1" applyAlignment="1">
      <alignment horizontal="center"/>
    </xf>
    <xf numFmtId="165" fontId="2" fillId="3" borderId="0" xfId="0" applyNumberFormat="1" applyFont="1" applyFill="1" applyBorder="1" applyAlignment="1">
      <alignment horizontal="center"/>
    </xf>
    <xf numFmtId="0" fontId="2" fillId="3" borderId="0" xfId="0" applyFont="1" applyFill="1" applyBorder="1"/>
    <xf numFmtId="43" fontId="0" fillId="0" borderId="0" xfId="1" applyFont="1" applyFill="1"/>
    <xf numFmtId="164" fontId="0" fillId="0" borderId="0" xfId="1" applyNumberFormat="1" applyFont="1" applyFill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43" fontId="4" fillId="5" borderId="0" xfId="1" applyFont="1" applyFill="1" applyAlignment="1">
      <alignment vertical="top"/>
    </xf>
    <xf numFmtId="164" fontId="4" fillId="5" borderId="0" xfId="1" applyNumberFormat="1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5" fillId="5" borderId="0" xfId="0" applyFont="1" applyFill="1" applyAlignment="1">
      <alignment horizontal="left"/>
    </xf>
    <xf numFmtId="0" fontId="0" fillId="2" borderId="0" xfId="0" applyFill="1" applyBorder="1"/>
    <xf numFmtId="0" fontId="0" fillId="0" borderId="0" xfId="0" applyFill="1" applyAlignment="1">
      <alignment horizontal="left"/>
    </xf>
    <xf numFmtId="0" fontId="7" fillId="5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43" fontId="3" fillId="0" borderId="0" xfId="0" applyNumberFormat="1" applyFont="1" applyBorder="1"/>
    <xf numFmtId="38" fontId="0" fillId="0" borderId="0" xfId="1" applyNumberFormat="1" applyFont="1" applyFill="1" applyBorder="1" applyAlignment="1">
      <alignment horizontal="center"/>
    </xf>
    <xf numFmtId="38" fontId="0" fillId="2" borderId="0" xfId="1" applyNumberFormat="1" applyFont="1" applyFill="1" applyBorder="1" applyAlignment="1">
      <alignment horizontal="center"/>
    </xf>
    <xf numFmtId="38" fontId="3" fillId="0" borderId="1" xfId="1" applyNumberFormat="1" applyFont="1" applyBorder="1" applyAlignment="1">
      <alignment horizontal="center"/>
    </xf>
    <xf numFmtId="164" fontId="2" fillId="4" borderId="0" xfId="1" applyNumberFormat="1" applyFont="1" applyFill="1" applyBorder="1" applyAlignment="1">
      <alignment horizontal="center"/>
    </xf>
    <xf numFmtId="15" fontId="3" fillId="0" borderId="0" xfId="0" applyNumberFormat="1" applyFont="1" applyFill="1" applyBorder="1" applyAlignment="1">
      <alignment horizontal="left"/>
    </xf>
    <xf numFmtId="15" fontId="0" fillId="2" borderId="0" xfId="0" applyNumberFormat="1" applyFill="1" applyBorder="1" applyAlignment="1">
      <alignment horizontal="left"/>
    </xf>
    <xf numFmtId="0" fontId="0" fillId="2" borderId="0" xfId="0" applyFont="1" applyFill="1" applyAlignment="1">
      <alignment horizontal="left"/>
    </xf>
    <xf numFmtId="164" fontId="2" fillId="4" borderId="0" xfId="1" applyNumberFormat="1" applyFont="1" applyFill="1" applyBorder="1" applyAlignment="1">
      <alignment horizontal="center"/>
    </xf>
  </cellXfs>
  <cellStyles count="8">
    <cellStyle name="Comma" xfId="1" builtinId="3"/>
    <cellStyle name="Comma 2" xfId="2"/>
    <cellStyle name="Comma 3" xfId="3"/>
    <cellStyle name="Normal" xfId="0" builtinId="0"/>
    <cellStyle name="Normal 2" xfId="4"/>
    <cellStyle name="Normal 2 2" xfId="5"/>
    <cellStyle name="Normal 3" xfId="6"/>
    <cellStyle name="Percent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showGridLines="0" tabSelected="1" showRuler="0" zoomScale="108" zoomScaleNormal="108" workbookViewId="0"/>
  </sheetViews>
  <sheetFormatPr defaultColWidth="9.1796875" defaultRowHeight="14.5"/>
  <cols>
    <col min="1" max="1" width="12.7265625" style="4" customWidth="1"/>
    <col min="2" max="2" width="10.6328125" style="4" bestFit="1" customWidth="1"/>
    <col min="3" max="3" width="20.81640625" style="1" customWidth="1"/>
    <col min="4" max="4" width="8.7265625" style="3" customWidth="1"/>
    <col min="5" max="5" width="7" style="3" customWidth="1"/>
    <col min="6" max="8" width="11.7265625" style="2" customWidth="1"/>
    <col min="9" max="16384" width="9.1796875" style="1"/>
  </cols>
  <sheetData>
    <row r="1" spans="1:8" ht="15" customHeight="1">
      <c r="A1" s="31" t="s">
        <v>25</v>
      </c>
      <c r="B1" s="31"/>
    </row>
    <row r="2" spans="1:8" ht="15" customHeight="1">
      <c r="A2" s="34" t="s">
        <v>8</v>
      </c>
      <c r="B2" s="35"/>
      <c r="C2" s="30"/>
      <c r="D2" s="29"/>
      <c r="E2" s="29"/>
      <c r="F2" s="28"/>
      <c r="G2" s="28"/>
      <c r="H2" s="28"/>
    </row>
    <row r="3" spans="1:8">
      <c r="A3" s="33" t="s">
        <v>7</v>
      </c>
      <c r="B3" s="43"/>
      <c r="C3" s="43"/>
      <c r="D3" s="25"/>
      <c r="E3" s="25"/>
      <c r="F3" s="24"/>
      <c r="G3" s="24"/>
      <c r="H3" s="24"/>
    </row>
    <row r="4" spans="1:8">
      <c r="A4" s="33"/>
      <c r="B4" s="27"/>
      <c r="C4" s="26"/>
      <c r="D4" s="25"/>
      <c r="E4" s="25"/>
      <c r="F4" s="24"/>
      <c r="G4" s="24"/>
      <c r="H4" s="24"/>
    </row>
    <row r="5" spans="1:8">
      <c r="A5" s="23"/>
      <c r="B5" s="23"/>
      <c r="C5" s="23"/>
      <c r="D5" s="44" t="s">
        <v>5</v>
      </c>
      <c r="E5" s="44"/>
      <c r="F5" s="19" t="s">
        <v>11</v>
      </c>
      <c r="G5" s="19" t="s">
        <v>11</v>
      </c>
      <c r="H5" s="19" t="s">
        <v>18</v>
      </c>
    </row>
    <row r="6" spans="1:8" s="18" customFormat="1">
      <c r="A6" s="20" t="s">
        <v>4</v>
      </c>
      <c r="B6" s="20" t="s">
        <v>9</v>
      </c>
      <c r="C6" s="22" t="s">
        <v>3</v>
      </c>
      <c r="D6" s="21" t="s">
        <v>17</v>
      </c>
      <c r="E6" s="21" t="s">
        <v>1</v>
      </c>
      <c r="F6" s="20" t="s">
        <v>2</v>
      </c>
      <c r="G6" s="20" t="s">
        <v>19</v>
      </c>
      <c r="H6" s="19" t="s">
        <v>20</v>
      </c>
    </row>
    <row r="7" spans="1:8">
      <c r="A7" s="41"/>
      <c r="B7" s="17"/>
      <c r="C7" s="13" t="s">
        <v>10</v>
      </c>
      <c r="D7" s="37"/>
      <c r="E7" s="38"/>
      <c r="F7" s="16"/>
      <c r="G7" s="16">
        <f>+E7*F7</f>
        <v>0</v>
      </c>
      <c r="H7" s="16">
        <f>+G7</f>
        <v>0</v>
      </c>
    </row>
    <row r="8" spans="1:8">
      <c r="A8" s="42"/>
      <c r="B8" s="15"/>
      <c r="C8" s="32"/>
      <c r="D8" s="38"/>
      <c r="E8" s="37">
        <f t="shared" ref="E8:E14" si="0">+E7+D8</f>
        <v>0</v>
      </c>
      <c r="F8" s="12"/>
      <c r="G8" s="12">
        <f t="shared" ref="G8:G14" si="1">SUM(D8:D8)*F8</f>
        <v>0</v>
      </c>
      <c r="H8" s="5">
        <f t="shared" ref="H8:H14" si="2">+H7+G8</f>
        <v>0</v>
      </c>
    </row>
    <row r="9" spans="1:8">
      <c r="A9" s="42"/>
      <c r="B9" s="15"/>
      <c r="C9" s="32"/>
      <c r="D9" s="38"/>
      <c r="E9" s="37">
        <f t="shared" si="0"/>
        <v>0</v>
      </c>
      <c r="F9" s="12"/>
      <c r="G9" s="12">
        <f t="shared" si="1"/>
        <v>0</v>
      </c>
      <c r="H9" s="5">
        <f t="shared" si="2"/>
        <v>0</v>
      </c>
    </row>
    <row r="10" spans="1:8">
      <c r="A10" s="42"/>
      <c r="B10" s="15"/>
      <c r="C10" s="32"/>
      <c r="D10" s="38"/>
      <c r="E10" s="37">
        <f t="shared" si="0"/>
        <v>0</v>
      </c>
      <c r="F10" s="12"/>
      <c r="G10" s="12">
        <f t="shared" si="1"/>
        <v>0</v>
      </c>
      <c r="H10" s="5">
        <f t="shared" si="2"/>
        <v>0</v>
      </c>
    </row>
    <row r="11" spans="1:8">
      <c r="A11" s="42"/>
      <c r="B11" s="15"/>
      <c r="C11" s="32"/>
      <c r="D11" s="38"/>
      <c r="E11" s="37">
        <f t="shared" si="0"/>
        <v>0</v>
      </c>
      <c r="F11" s="12"/>
      <c r="G11" s="12">
        <f t="shared" si="1"/>
        <v>0</v>
      </c>
      <c r="H11" s="5">
        <f t="shared" si="2"/>
        <v>0</v>
      </c>
    </row>
    <row r="12" spans="1:8">
      <c r="A12" s="42"/>
      <c r="B12" s="15"/>
      <c r="C12" s="32"/>
      <c r="D12" s="38"/>
      <c r="E12" s="37">
        <f t="shared" si="0"/>
        <v>0</v>
      </c>
      <c r="F12" s="12"/>
      <c r="G12" s="12">
        <f t="shared" si="1"/>
        <v>0</v>
      </c>
      <c r="H12" s="5">
        <f t="shared" si="2"/>
        <v>0</v>
      </c>
    </row>
    <row r="13" spans="1:8">
      <c r="A13" s="42"/>
      <c r="B13" s="15"/>
      <c r="C13" s="14"/>
      <c r="D13" s="38"/>
      <c r="E13" s="37">
        <f t="shared" si="0"/>
        <v>0</v>
      </c>
      <c r="F13" s="12"/>
      <c r="G13" s="12">
        <f t="shared" si="1"/>
        <v>0</v>
      </c>
      <c r="H13" s="5">
        <f t="shared" si="2"/>
        <v>0</v>
      </c>
    </row>
    <row r="14" spans="1:8">
      <c r="A14" s="42"/>
      <c r="B14" s="15"/>
      <c r="C14" s="14"/>
      <c r="D14" s="38"/>
      <c r="E14" s="37">
        <f t="shared" si="0"/>
        <v>0</v>
      </c>
      <c r="F14" s="12"/>
      <c r="G14" s="12">
        <f t="shared" si="1"/>
        <v>0</v>
      </c>
      <c r="H14" s="5">
        <f t="shared" si="2"/>
        <v>0</v>
      </c>
    </row>
    <row r="15" spans="1:8" s="9" customFormat="1" ht="15" thickBot="1">
      <c r="A15" s="11" t="s">
        <v>0</v>
      </c>
      <c r="B15" s="11"/>
      <c r="C15" s="11"/>
      <c r="D15" s="39">
        <f>SUM(D8:D14)</f>
        <v>0</v>
      </c>
      <c r="E15" s="39">
        <f>+E14</f>
        <v>0</v>
      </c>
      <c r="F15" s="36" t="e">
        <f>+H15/E15</f>
        <v>#DIV/0!</v>
      </c>
      <c r="G15" s="36" t="e">
        <f>+E15*F15</f>
        <v>#DIV/0!</v>
      </c>
      <c r="H15" s="10">
        <f>+H14</f>
        <v>0</v>
      </c>
    </row>
    <row r="16" spans="1:8">
      <c r="A16" s="8"/>
      <c r="B16" s="8"/>
      <c r="C16" s="7"/>
      <c r="D16" s="6"/>
      <c r="E16" s="6"/>
      <c r="F16" s="5"/>
      <c r="G16" s="5"/>
      <c r="H16" s="5"/>
    </row>
  </sheetData>
  <mergeCells count="2">
    <mergeCell ref="B3:C3"/>
    <mergeCell ref="D5:E5"/>
  </mergeCells>
  <printOptions horizontalCentered="1"/>
  <pageMargins left="0" right="0" top="0.51181102362204722" bottom="0.51181102362204722" header="0" footer="0"/>
  <pageSetup paperSize="9" scale="90" orientation="portrait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showGridLines="0" showRuler="0" zoomScale="108" zoomScaleNormal="108" workbookViewId="0"/>
  </sheetViews>
  <sheetFormatPr defaultColWidth="9.1796875" defaultRowHeight="14.5"/>
  <cols>
    <col min="1" max="1" width="12.7265625" style="4" customWidth="1"/>
    <col min="2" max="2" width="10.6328125" style="4" bestFit="1" customWidth="1"/>
    <col min="3" max="3" width="20.81640625" style="1" customWidth="1"/>
    <col min="4" max="4" width="8.7265625" style="3" customWidth="1"/>
    <col min="5" max="5" width="7" style="3" customWidth="1"/>
    <col min="6" max="8" width="11.7265625" style="2" customWidth="1"/>
    <col min="9" max="16384" width="9.1796875" style="1"/>
  </cols>
  <sheetData>
    <row r="1" spans="1:8" ht="15" customHeight="1">
      <c r="A1" s="31" t="s">
        <v>25</v>
      </c>
      <c r="B1" s="31"/>
    </row>
    <row r="2" spans="1:8" ht="15" customHeight="1">
      <c r="A2" s="34" t="s">
        <v>8</v>
      </c>
      <c r="B2" s="35"/>
      <c r="C2" s="30"/>
      <c r="D2" s="29"/>
      <c r="E2" s="29"/>
      <c r="F2" s="28"/>
      <c r="G2" s="28"/>
      <c r="H2" s="28"/>
    </row>
    <row r="3" spans="1:8">
      <c r="A3" s="33" t="s">
        <v>7</v>
      </c>
      <c r="B3" s="43"/>
      <c r="C3" s="43"/>
      <c r="D3" s="25"/>
      <c r="E3" s="25"/>
      <c r="F3" s="24"/>
      <c r="G3" s="24"/>
      <c r="H3" s="24"/>
    </row>
    <row r="4" spans="1:8">
      <c r="A4" s="33"/>
      <c r="B4" s="27"/>
      <c r="C4" s="26"/>
      <c r="D4" s="25"/>
      <c r="E4" s="25"/>
      <c r="F4" s="24"/>
      <c r="G4" s="24"/>
      <c r="H4" s="24"/>
    </row>
    <row r="5" spans="1:8">
      <c r="A5" s="23"/>
      <c r="B5" s="23"/>
      <c r="C5" s="23"/>
      <c r="D5" s="44" t="s">
        <v>5</v>
      </c>
      <c r="E5" s="44"/>
      <c r="F5" s="19" t="s">
        <v>11</v>
      </c>
      <c r="G5" s="19" t="s">
        <v>11</v>
      </c>
      <c r="H5" s="19" t="s">
        <v>18</v>
      </c>
    </row>
    <row r="6" spans="1:8" s="18" customFormat="1">
      <c r="A6" s="20" t="s">
        <v>4</v>
      </c>
      <c r="B6" s="20" t="s">
        <v>9</v>
      </c>
      <c r="C6" s="22" t="s">
        <v>3</v>
      </c>
      <c r="D6" s="40" t="s">
        <v>17</v>
      </c>
      <c r="E6" s="40" t="s">
        <v>1</v>
      </c>
      <c r="F6" s="20" t="s">
        <v>2</v>
      </c>
      <c r="G6" s="20" t="s">
        <v>19</v>
      </c>
      <c r="H6" s="19" t="s">
        <v>20</v>
      </c>
    </row>
    <row r="7" spans="1:8">
      <c r="A7" s="41"/>
      <c r="B7" s="17"/>
      <c r="C7" s="13" t="s">
        <v>10</v>
      </c>
      <c r="D7" s="37"/>
      <c r="E7" s="38">
        <v>50</v>
      </c>
      <c r="F7" s="16">
        <v>150</v>
      </c>
      <c r="G7" s="16">
        <f>+E7*F7</f>
        <v>7500</v>
      </c>
      <c r="H7" s="16">
        <f>+G7</f>
        <v>7500</v>
      </c>
    </row>
    <row r="8" spans="1:8">
      <c r="A8" s="42">
        <v>41075</v>
      </c>
      <c r="B8" s="15" t="s">
        <v>6</v>
      </c>
      <c r="C8" s="32" t="s">
        <v>13</v>
      </c>
      <c r="D8" s="38">
        <v>20</v>
      </c>
      <c r="E8" s="37">
        <f t="shared" ref="E8:E14" si="0">+E7+D8</f>
        <v>70</v>
      </c>
      <c r="F8" s="12">
        <v>155</v>
      </c>
      <c r="G8" s="12">
        <f t="shared" ref="G8:G14" si="1">SUM(D8:D8)*F8</f>
        <v>3100</v>
      </c>
      <c r="H8" s="5">
        <f t="shared" ref="H8:H14" si="2">+H7+G8</f>
        <v>10600</v>
      </c>
    </row>
    <row r="9" spans="1:8">
      <c r="A9" s="42">
        <v>41078</v>
      </c>
      <c r="B9" s="15" t="s">
        <v>21</v>
      </c>
      <c r="C9" s="32" t="s">
        <v>12</v>
      </c>
      <c r="D9" s="38">
        <v>-20</v>
      </c>
      <c r="E9" s="37">
        <f t="shared" si="0"/>
        <v>50</v>
      </c>
      <c r="F9" s="12">
        <f>+F7</f>
        <v>150</v>
      </c>
      <c r="G9" s="12">
        <f t="shared" si="1"/>
        <v>-3000</v>
      </c>
      <c r="H9" s="5">
        <f t="shared" si="2"/>
        <v>7600</v>
      </c>
    </row>
    <row r="10" spans="1:8">
      <c r="A10" s="42">
        <v>41078</v>
      </c>
      <c r="B10" s="15" t="s">
        <v>22</v>
      </c>
      <c r="C10" s="32" t="s">
        <v>14</v>
      </c>
      <c r="D10" s="38">
        <v>-5</v>
      </c>
      <c r="E10" s="37">
        <f t="shared" si="0"/>
        <v>45</v>
      </c>
      <c r="F10" s="12">
        <v>150</v>
      </c>
      <c r="G10" s="12">
        <f t="shared" si="1"/>
        <v>-750</v>
      </c>
      <c r="H10" s="5">
        <f t="shared" si="2"/>
        <v>6850</v>
      </c>
    </row>
    <row r="11" spans="1:8">
      <c r="A11" s="42">
        <v>41080</v>
      </c>
      <c r="B11" s="15" t="s">
        <v>23</v>
      </c>
      <c r="C11" s="32" t="s">
        <v>15</v>
      </c>
      <c r="D11" s="38">
        <v>2</v>
      </c>
      <c r="E11" s="37">
        <f t="shared" si="0"/>
        <v>47</v>
      </c>
      <c r="F11" s="12">
        <v>150</v>
      </c>
      <c r="G11" s="12">
        <f t="shared" si="1"/>
        <v>300</v>
      </c>
      <c r="H11" s="5">
        <f t="shared" si="2"/>
        <v>7150</v>
      </c>
    </row>
    <row r="12" spans="1:8">
      <c r="A12" s="42">
        <v>41090</v>
      </c>
      <c r="B12" s="15" t="s">
        <v>24</v>
      </c>
      <c r="C12" s="32" t="s">
        <v>16</v>
      </c>
      <c r="D12" s="38">
        <v>-3</v>
      </c>
      <c r="E12" s="37">
        <f t="shared" si="0"/>
        <v>44</v>
      </c>
      <c r="F12" s="12">
        <v>150</v>
      </c>
      <c r="G12" s="12">
        <f t="shared" si="1"/>
        <v>-450</v>
      </c>
      <c r="H12" s="5">
        <f t="shared" si="2"/>
        <v>6700</v>
      </c>
    </row>
    <row r="13" spans="1:8">
      <c r="A13" s="42"/>
      <c r="B13" s="15"/>
      <c r="C13" s="14"/>
      <c r="D13" s="38"/>
      <c r="E13" s="37">
        <f t="shared" si="0"/>
        <v>44</v>
      </c>
      <c r="F13" s="12"/>
      <c r="G13" s="12">
        <f t="shared" si="1"/>
        <v>0</v>
      </c>
      <c r="H13" s="5">
        <f t="shared" si="2"/>
        <v>6700</v>
      </c>
    </row>
    <row r="14" spans="1:8">
      <c r="A14" s="42"/>
      <c r="B14" s="15"/>
      <c r="C14" s="14"/>
      <c r="D14" s="38"/>
      <c r="E14" s="37">
        <f t="shared" si="0"/>
        <v>44</v>
      </c>
      <c r="F14" s="12"/>
      <c r="G14" s="12">
        <f t="shared" si="1"/>
        <v>0</v>
      </c>
      <c r="H14" s="5">
        <f t="shared" si="2"/>
        <v>6700</v>
      </c>
    </row>
    <row r="15" spans="1:8" s="9" customFormat="1" ht="15" thickBot="1">
      <c r="A15" s="11" t="s">
        <v>0</v>
      </c>
      <c r="B15" s="11"/>
      <c r="C15" s="11"/>
      <c r="D15" s="39">
        <f>SUM(D8:D14)</f>
        <v>-6</v>
      </c>
      <c r="E15" s="39">
        <f>+E14</f>
        <v>44</v>
      </c>
      <c r="F15" s="36">
        <f>+H15/E15</f>
        <v>152.27272727272728</v>
      </c>
      <c r="G15" s="36">
        <f>+E15*F15</f>
        <v>6700</v>
      </c>
      <c r="H15" s="10">
        <f>+H14</f>
        <v>6700</v>
      </c>
    </row>
    <row r="16" spans="1:8">
      <c r="A16" s="8"/>
      <c r="B16" s="8"/>
      <c r="C16" s="7"/>
      <c r="D16" s="6"/>
      <c r="E16" s="6"/>
      <c r="F16" s="5"/>
      <c r="G16" s="5"/>
      <c r="H16" s="5"/>
    </row>
  </sheetData>
  <mergeCells count="2">
    <mergeCell ref="B3:C3"/>
    <mergeCell ref="D5:E5"/>
  </mergeCells>
  <printOptions horizontalCentered="1"/>
  <pageMargins left="0" right="0" top="0.51181102362204722" bottom="0.51181102362204722" header="0" footer="0"/>
  <pageSetup paperSize="9" scale="9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Stock Card Template</vt:lpstr>
      <vt:lpstr>Stock Card Sample</vt:lpstr>
      <vt:lpstr>'Stock Card Sample'!Print_Titles</vt:lpstr>
      <vt:lpstr>'Stock Card Template'!Print_Titles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DQ</cp:lastModifiedBy>
  <cp:lastPrinted>2012-08-09T02:05:27Z</cp:lastPrinted>
  <dcterms:created xsi:type="dcterms:W3CDTF">2012-04-18T08:26:42Z</dcterms:created>
  <dcterms:modified xsi:type="dcterms:W3CDTF">2012-08-09T02:06:23Z</dcterms:modified>
</cp:coreProperties>
</file>